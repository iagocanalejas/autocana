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.goebel\Desktop\TO PRINT (NEW)\"/>
    </mc:Choice>
  </mc:AlternateContent>
  <xr:revisionPtr revIDLastSave="0" documentId="13_ncr:1_{64BA786C-A09B-4665-804D-F8436B98020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mplate to use" sheetId="1" r:id="rId1"/>
  </sheets>
  <definedNames>
    <definedName name="COUNTRY_HOUR_FACTOR">'template to use'!$D$71</definedName>
    <definedName name="DAY_OF_WEEK">'template to use'!A$43</definedName>
    <definedName name="MONTHS">'template to use'!$B$42:$B$53</definedName>
    <definedName name="SELECTED_MONTH">'template to use'!$C$42</definedName>
    <definedName name="SELECTED_YEAR">'template to use'!$E$42</definedName>
    <definedName name="YEARS">'template to use'!$D$42:$D$53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2" i="1" l="1"/>
  <c r="D61" i="1"/>
  <c r="E42" i="1"/>
  <c r="C42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3" i="1"/>
  <c r="G23" i="1"/>
  <c r="E23" i="1"/>
  <c r="B23" i="1"/>
  <c r="H22" i="1"/>
  <c r="G22" i="1"/>
  <c r="E22" i="1"/>
  <c r="B22" i="1"/>
  <c r="H21" i="1"/>
  <c r="G21" i="1"/>
  <c r="E21" i="1"/>
  <c r="B21" i="1"/>
  <c r="H20" i="1"/>
  <c r="G20" i="1"/>
  <c r="E20" i="1"/>
  <c r="B20" i="1"/>
  <c r="H19" i="1"/>
  <c r="G19" i="1"/>
  <c r="E19" i="1"/>
  <c r="B19" i="1"/>
  <c r="H18" i="1"/>
  <c r="G18" i="1" s="1"/>
  <c r="E18" i="1"/>
  <c r="B18" i="1"/>
  <c r="H17" i="1"/>
  <c r="G17" i="1"/>
  <c r="E17" i="1"/>
  <c r="B17" i="1"/>
  <c r="H16" i="1"/>
  <c r="G16" i="1"/>
  <c r="E16" i="1"/>
  <c r="B16" i="1"/>
  <c r="H15" i="1"/>
  <c r="G15" i="1"/>
  <c r="E15" i="1"/>
  <c r="B15" i="1"/>
  <c r="H14" i="1"/>
  <c r="G14" i="1" s="1"/>
  <c r="E14" i="1"/>
  <c r="B14" i="1"/>
  <c r="H13" i="1"/>
  <c r="G13" i="1"/>
  <c r="E13" i="1"/>
  <c r="B13" i="1"/>
  <c r="H12" i="1"/>
  <c r="G12" i="1"/>
  <c r="E12" i="1"/>
  <c r="B12" i="1"/>
  <c r="H11" i="1"/>
  <c r="G11" i="1"/>
  <c r="E11" i="1"/>
  <c r="B11" i="1"/>
  <c r="H10" i="1"/>
  <c r="G10" i="1" s="1"/>
  <c r="E10" i="1"/>
  <c r="H9" i="1"/>
  <c r="G9" i="1"/>
  <c r="E9" i="1"/>
  <c r="B9" i="1"/>
  <c r="G25" i="1" l="1"/>
  <c r="H25" i="1" s="1"/>
  <c r="AF43" i="1"/>
  <c r="K43" i="1"/>
  <c r="M43" i="1"/>
  <c r="U43" i="1"/>
  <c r="AI43" i="1"/>
  <c r="G27" i="1" a="1"/>
  <c r="G27" i="1" s="1"/>
  <c r="H27" i="1" s="1"/>
  <c r="AK43" i="1"/>
  <c r="AC43" i="1"/>
  <c r="S43" i="1"/>
  <c r="AA43" i="1"/>
  <c r="G26" i="1" a="1"/>
  <c r="G26" i="1" s="1"/>
  <c r="H26" i="1" s="1"/>
  <c r="I43" i="1"/>
  <c r="Q43" i="1"/>
  <c r="Y43" i="1"/>
  <c r="AG43" i="1"/>
  <c r="J43" i="1"/>
  <c r="R43" i="1"/>
  <c r="Z43" i="1"/>
  <c r="AH43" i="1"/>
  <c r="L43" i="1"/>
  <c r="T43" i="1"/>
  <c r="AB43" i="1"/>
  <c r="AJ43" i="1"/>
  <c r="N43" i="1"/>
  <c r="V43" i="1"/>
  <c r="AD43" i="1"/>
  <c r="AL43" i="1"/>
  <c r="O43" i="1"/>
  <c r="W43" i="1"/>
  <c r="AE43" i="1"/>
  <c r="AM43" i="1"/>
  <c r="P43" i="1"/>
  <c r="X43" i="1"/>
  <c r="H2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9" authorId="0" shapeId="0" xr:uid="{00000000-0006-0000-0000-000001000000}">
      <text>
        <r>
          <rPr>
            <sz val="10"/>
            <rFont val="Arial"/>
            <family val="2"/>
          </rPr>
          <t xml:space="preserve">Project:
</t>
        </r>
        <r>
          <rPr>
            <b/>
            <sz val="8"/>
            <color rgb="FF000000"/>
            <rFont val="Tahoma"/>
            <family val="2"/>
            <charset val="1"/>
          </rPr>
          <t xml:space="preserve">P9999 = project number (Mandatory!! / ask to your project Manager)
CPT = Not working for Arhs
</t>
        </r>
      </text>
    </comment>
    <comment ref="F9" authorId="0" shapeId="0" xr:uid="{00000000-0006-0000-0000-000004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A10" authorId="0" shapeId="0" xr:uid="{00000000-0006-0000-0000-000002000000}">
      <text>
        <r>
          <rPr>
            <sz val="10"/>
            <rFont val="Arial"/>
            <family val="2"/>
          </rPr>
          <t xml:space="preserve">Project:
</t>
        </r>
        <r>
          <rPr>
            <b/>
            <sz val="8"/>
            <color rgb="FF000000"/>
            <rFont val="Tahoma"/>
            <family val="2"/>
            <charset val="1"/>
          </rPr>
          <t xml:space="preserve">P9999 = project number (Mandatory!! / ask to your project Manager)
CPT = Not working for Arhs
</t>
        </r>
      </text>
    </comment>
    <comment ref="F10" authorId="0" shapeId="0" xr:uid="{00000000-0006-0000-0000-000005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A11" authorId="0" shapeId="0" xr:uid="{00000000-0006-0000-0000-000003000000}">
      <text>
        <r>
          <rPr>
            <b/>
            <sz val="8"/>
            <color rgb="FF000000"/>
            <rFont val="Tahoma"/>
            <family val="2"/>
            <charset val="1"/>
          </rPr>
          <t xml:space="preserve">Project:
P9999 = project number (Mandatory!! / ask to your project Manager)
CPT = Not working for Arhs
</t>
        </r>
      </text>
    </comment>
    <comment ref="F11" authorId="0" shapeId="0" xr:uid="{00000000-0006-0000-0000-000006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2" authorId="0" shapeId="0" xr:uid="{00000000-0006-0000-0000-000007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3" authorId="0" shapeId="0" xr:uid="{00000000-0006-0000-0000-000008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4" authorId="0" shapeId="0" xr:uid="{00000000-0006-0000-0000-000009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5" authorId="0" shapeId="0" xr:uid="{00000000-0006-0000-0000-00000A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6" authorId="0" shapeId="0" xr:uid="{00000000-0006-0000-0000-00000B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7" authorId="0" shapeId="0" xr:uid="{00000000-0006-0000-0000-00000C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8" authorId="0" shapeId="0" xr:uid="{00000000-0006-0000-0000-00000D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19" authorId="0" shapeId="0" xr:uid="{00000000-0006-0000-0000-00000E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20" authorId="0" shapeId="0" xr:uid="{00000000-0006-0000-0000-00000F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21" authorId="0" shapeId="0" xr:uid="{00000000-0006-0000-0000-000010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22" authorId="0" shapeId="0" xr:uid="{00000000-0006-0000-0000-000011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  <comment ref="F23" authorId="0" shapeId="0" xr:uid="{00000000-0006-0000-0000-000012000000}">
      <text>
        <r>
          <rPr>
            <sz val="10"/>
            <rFont val="Arial"/>
            <family val="2"/>
          </rPr>
          <t xml:space="preserve">PM: </t>
        </r>
        <r>
          <rPr>
            <sz val="8"/>
            <color rgb="FF000000"/>
            <rFont val="Tahoma"/>
            <family val="2"/>
            <charset val="1"/>
          </rPr>
          <t xml:space="preserve">Project Manager
</t>
        </r>
        <r>
          <rPr>
            <b/>
            <sz val="8"/>
            <color rgb="FF000000"/>
            <rFont val="Tahoma"/>
            <family val="2"/>
            <charset val="1"/>
          </rPr>
          <t xml:space="preserve">SAP: </t>
        </r>
        <r>
          <rPr>
            <sz val="8"/>
            <color rgb="FF000000"/>
            <rFont val="Tahoma"/>
            <family val="2"/>
            <charset val="1"/>
          </rPr>
          <t xml:space="preserve">Senior 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SA: </t>
        </r>
        <r>
          <rPr>
            <sz val="8"/>
            <color rgb="FF000000"/>
            <rFont val="Tahoma"/>
            <family val="2"/>
            <charset val="1"/>
          </rPr>
          <t xml:space="preserve">Senior Analyst
</t>
        </r>
        <r>
          <rPr>
            <b/>
            <sz val="8"/>
            <color rgb="FF000000"/>
            <rFont val="Tahoma"/>
            <family val="2"/>
            <charset val="1"/>
          </rPr>
          <t xml:space="preserve">AP: </t>
        </r>
        <r>
          <rPr>
            <sz val="8"/>
            <color rgb="FF000000"/>
            <rFont val="Tahoma"/>
            <family val="2"/>
            <charset val="1"/>
          </rPr>
          <t xml:space="preserve">Analyst-Programmer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P:  </t>
        </r>
        <r>
          <rPr>
            <sz val="8"/>
            <color rgb="FF000000"/>
            <rFont val="Tahoma"/>
            <family val="2"/>
            <charset val="1"/>
          </rPr>
          <t xml:space="preserve">Programmer
</t>
        </r>
        <r>
          <rPr>
            <b/>
            <sz val="8"/>
            <color rgb="FF000000"/>
            <rFont val="Tahoma"/>
            <family val="2"/>
            <charset val="1"/>
          </rPr>
          <t xml:space="preserve">JP: </t>
        </r>
        <r>
          <rPr>
            <sz val="8"/>
            <color rgb="FF000000"/>
            <rFont val="Tahoma"/>
            <family val="2"/>
            <charset val="1"/>
          </rPr>
          <t>Junior Programmer</t>
        </r>
      </text>
    </comment>
  </commentList>
</comments>
</file>

<file path=xl/sharedStrings.xml><?xml version="1.0" encoding="utf-8"?>
<sst xmlns="http://schemas.openxmlformats.org/spreadsheetml/2006/main" count="51" uniqueCount="46">
  <si>
    <t>Consultant's Name:</t>
  </si>
  <si>
    <t>Period:</t>
  </si>
  <si>
    <t>January</t>
  </si>
  <si>
    <t>Project</t>
  </si>
  <si>
    <t>Type</t>
  </si>
  <si>
    <t>Profile</t>
  </si>
  <si>
    <t>Total</t>
  </si>
  <si>
    <t>Date (to be filled in 1/8 of days)</t>
  </si>
  <si>
    <t>Activity ID</t>
  </si>
  <si>
    <t>Activity Description</t>
  </si>
  <si>
    <t>Task ID</t>
  </si>
  <si>
    <t>Task Description</t>
  </si>
  <si>
    <t>Days</t>
  </si>
  <si>
    <t>CPT</t>
  </si>
  <si>
    <t xml:space="preserve"> </t>
  </si>
  <si>
    <t>TOTAL</t>
  </si>
  <si>
    <t>Total Billable</t>
  </si>
  <si>
    <t>Total Non Billable</t>
  </si>
  <si>
    <t>Total Legal Holidays</t>
  </si>
  <si>
    <t>The Customer</t>
  </si>
  <si>
    <t>The consultant</t>
  </si>
  <si>
    <t>Date</t>
  </si>
  <si>
    <t>Name</t>
  </si>
  <si>
    <t>Signature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</si>
  <si>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</si>
  <si>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</si>
  <si>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</si>
  <si>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</si>
  <si>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</si>
  <si>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</si>
  <si>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</si>
  <si>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</si>
  <si>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</si>
  <si>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</si>
  <si>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</si>
  <si>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Code</t>
  </si>
  <si>
    <t>Description</t>
  </si>
  <si>
    <t>DTR</t>
  </si>
  <si>
    <t>Days to recover</t>
  </si>
  <si>
    <t>NB-HOL</t>
  </si>
  <si>
    <t>Contract part-time</t>
  </si>
  <si>
    <t>NB-CPT</t>
  </si>
  <si>
    <t>Country (BE/LU)</t>
  </si>
  <si>
    <t>BE</t>
  </si>
  <si>
    <t>Version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</si>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</sst>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name val="Arial"/>
      <charset val="1"/>
    </font>
    <font>
      <sz val="10"/>
      <name val="Century Gothic"/>
      <family val="2"/>
      <charset val="1"/>
    </font>
    <font>
      <sz val="8"/>
      <name val="Century Gothic"/>
      <family val="2"/>
      <charset val="1"/>
    </font>
    <font>
      <sz val="12"/>
      <name val="Century Gothic"/>
      <family val="2"/>
      <charset val="1"/>
    </font>
    <font>
      <b/>
      <sz val="10"/>
      <name val="Century Gothic"/>
      <family val="2"/>
      <charset val="1"/>
    </font>
    <font>
      <u/>
      <sz val="10"/>
      <name val="Century Gothic"/>
      <family val="2"/>
      <charset val="1"/>
    </font>
    <font>
      <sz val="9"/>
      <name val="Century Gothic"/>
      <family val="2"/>
      <charset val="1"/>
    </font>
    <font>
      <b/>
      <sz val="8"/>
      <color rgb="FF000000"/>
      <name val="Tahoma"/>
      <family val="2"/>
      <charset val="1"/>
    </font>
    <font>
      <sz val="8"/>
      <color rgb="FF000000"/>
      <name val="Tahoma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5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auto="1"/>
      </top>
      <bottom style="thin">
        <color auto="1"/>
      </bottom>
      <diagonal/>
    </border>
    <border>
      <left style="thin">
        <color rgb="FF808080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rgb="FFC0C0C0"/>
      </right>
      <top style="medium">
        <color auto="1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medium">
        <color auto="1"/>
      </top>
      <bottom style="thin">
        <color auto="1"/>
      </bottom>
      <diagonal/>
    </border>
    <border>
      <left style="thin">
        <color rgb="FFC0C0C0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double">
        <color auto="1"/>
      </left>
      <right style="thin">
        <color rgb="FFC0C0C0"/>
      </right>
      <top style="thin">
        <color auto="1"/>
      </top>
      <bottom style="thin">
        <color rgb="FFC0C0C0"/>
      </bottom>
      <diagonal/>
    </border>
    <border>
      <left style="thin">
        <color rgb="FFC0C0C0"/>
      </left>
      <right style="medium">
        <color auto="1"/>
      </right>
      <top/>
      <bottom style="thin">
        <color rgb="FFC0C0C0"/>
      </bottom>
      <diagonal/>
    </border>
    <border>
      <left style="double">
        <color auto="1"/>
      </left>
      <right style="thin">
        <color rgb="FFC0C0C0"/>
      </right>
      <top/>
      <bottom style="thin">
        <color rgb="FFC0C0C0"/>
      </bottom>
      <diagonal/>
    </border>
    <border>
      <left style="medium">
        <color auto="1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double">
        <color auto="1"/>
      </left>
      <right style="thin">
        <color rgb="FFC0C0C0"/>
      </right>
      <top/>
      <bottom style="thin">
        <color auto="1"/>
      </bottom>
      <diagonal/>
    </border>
    <border>
      <left style="medium">
        <color auto="1"/>
      </left>
      <right style="thin">
        <color rgb="FFC0C0C0"/>
      </right>
      <top style="thin">
        <color auto="1"/>
      </top>
      <bottom style="medium">
        <color auto="1"/>
      </bottom>
      <diagonal/>
    </border>
    <border>
      <left style="thin">
        <color rgb="FFC0C0C0"/>
      </left>
      <right style="thin">
        <color rgb="FFC0C0C0"/>
      </right>
      <top/>
      <bottom style="medium">
        <color auto="1"/>
      </bottom>
      <diagonal/>
    </border>
    <border>
      <left style="thin">
        <color rgb="FFC0C0C0"/>
      </left>
      <right style="double">
        <color auto="1"/>
      </right>
      <top/>
      <bottom style="thin">
        <color rgb="FFC0C0C0"/>
      </bottom>
      <diagonal/>
    </border>
    <border>
      <left style="double">
        <color auto="1"/>
      </left>
      <right style="thin">
        <color rgb="FFC0C0C0"/>
      </right>
      <top style="thin">
        <color auto="1"/>
      </top>
      <bottom style="medium">
        <color auto="1"/>
      </bottom>
      <diagonal/>
    </border>
    <border>
      <left style="thin">
        <color rgb="FFC0C0C0"/>
      </left>
      <right style="thin">
        <color rgb="FFC0C0C0"/>
      </right>
      <top style="thin">
        <color auto="1"/>
      </top>
      <bottom style="medium">
        <color auto="1"/>
      </bottom>
      <diagonal/>
    </border>
    <border>
      <left style="thin">
        <color rgb="FFC0C0C0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969696"/>
      </bottom>
      <diagonal/>
    </border>
    <border>
      <left style="medium">
        <color auto="1"/>
      </left>
      <right style="thin">
        <color rgb="FF969696"/>
      </right>
      <top style="medium">
        <color auto="1"/>
      </top>
      <bottom style="thin">
        <color rgb="FF969696"/>
      </bottom>
      <diagonal/>
    </border>
    <border>
      <left style="thin">
        <color rgb="FF969696"/>
      </left>
      <right style="medium">
        <color auto="1"/>
      </right>
      <top style="medium">
        <color auto="1"/>
      </top>
      <bottom style="thin">
        <color rgb="FF969696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rgb="FF969696"/>
      </top>
      <bottom style="thin">
        <color rgb="FF969696"/>
      </bottom>
      <diagonal/>
    </border>
    <border>
      <left style="medium">
        <color auto="1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medium">
        <color auto="1"/>
      </right>
      <top style="thin">
        <color rgb="FF969696"/>
      </top>
      <bottom style="thin">
        <color rgb="FF969696"/>
      </bottom>
      <diagonal/>
    </border>
    <border>
      <left style="medium">
        <color auto="1"/>
      </left>
      <right style="medium">
        <color auto="1"/>
      </right>
      <top style="thin">
        <color rgb="FF969696"/>
      </top>
      <bottom style="medium">
        <color auto="1"/>
      </bottom>
      <diagonal/>
    </border>
    <border>
      <left style="medium">
        <color auto="1"/>
      </left>
      <right style="thin">
        <color rgb="FF969696"/>
      </right>
      <top style="thin">
        <color rgb="FF969696"/>
      </top>
      <bottom style="medium">
        <color auto="1"/>
      </bottom>
      <diagonal/>
    </border>
    <border>
      <left style="thin">
        <color rgb="FF969696"/>
      </left>
      <right style="medium">
        <color auto="1"/>
      </right>
      <top style="thin">
        <color rgb="FF969696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969696"/>
      </right>
      <top/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 shrinkToFit="1"/>
    </xf>
    <xf numFmtId="0" fontId="1" fillId="0" borderId="8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left"/>
    </xf>
    <xf numFmtId="49" fontId="2" fillId="0" borderId="18" xfId="0" applyNumberFormat="1" applyFont="1" applyBorder="1" applyAlignment="1">
      <alignment horizontal="left"/>
    </xf>
    <xf numFmtId="0" fontId="2" fillId="0" borderId="18" xfId="0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left"/>
    </xf>
    <xf numFmtId="49" fontId="2" fillId="0" borderId="23" xfId="0" applyNumberFormat="1" applyFont="1" applyBorder="1" applyAlignment="1">
      <alignment horizontal="left"/>
    </xf>
    <xf numFmtId="0" fontId="2" fillId="0" borderId="23" xfId="0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3" fillId="0" borderId="0" xfId="0" applyFont="1" applyAlignment="1">
      <alignment horizontal="left"/>
    </xf>
    <xf numFmtId="164" fontId="1" fillId="0" borderId="32" xfId="0" applyNumberFormat="1" applyFont="1" applyBorder="1" applyAlignment="1">
      <alignment horizontal="center"/>
    </xf>
    <xf numFmtId="164" fontId="4" fillId="0" borderId="33" xfId="0" applyNumberFormat="1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164" fontId="1" fillId="0" borderId="37" xfId="0" applyNumberFormat="1" applyFont="1" applyBorder="1" applyAlignment="1">
      <alignment horizontal="center"/>
    </xf>
    <xf numFmtId="164" fontId="4" fillId="0" borderId="38" xfId="0" applyNumberFormat="1" applyFont="1" applyBorder="1" applyAlignment="1">
      <alignment horizontal="center"/>
    </xf>
    <xf numFmtId="164" fontId="1" fillId="0" borderId="40" xfId="0" applyNumberFormat="1" applyFont="1" applyBorder="1" applyAlignment="1">
      <alignment horizontal="center"/>
    </xf>
    <xf numFmtId="164" fontId="4" fillId="0" borderId="4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5" xfId="0" applyFont="1" applyBorder="1" applyAlignment="1">
      <alignment horizontal="left"/>
    </xf>
    <xf numFmtId="0" fontId="1" fillId="0" borderId="45" xfId="0" applyFont="1" applyBorder="1" applyAlignment="1">
      <alignment horizontal="center"/>
    </xf>
    <xf numFmtId="0" fontId="1" fillId="0" borderId="45" xfId="0" applyFont="1" applyBorder="1"/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2" borderId="49" xfId="0" applyFont="1" applyFill="1" applyBorder="1"/>
    <xf numFmtId="0" fontId="6" fillId="0" borderId="50" xfId="0" applyFont="1" applyBorder="1"/>
    <xf numFmtId="0" fontId="6" fillId="0" borderId="49" xfId="0" applyFont="1" applyBorder="1"/>
    <xf numFmtId="0" fontId="3" fillId="0" borderId="49" xfId="0" applyFont="1" applyBorder="1" applyAlignment="1">
      <alignment horizontal="left"/>
    </xf>
    <xf numFmtId="0" fontId="1" fillId="0" borderId="3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1" xfId="0" applyFont="1" applyBorder="1" applyAlignment="1">
      <alignment horizontal="center" shrinkToFit="1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1">
    <dxf>
      <fill>
        <patternFill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9360</xdr:colOff>
      <xdr:row>1</xdr:row>
      <xdr:rowOff>9360</xdr:rowOff>
    </xdr:from>
    <xdr:to>
      <xdr:col>2</xdr:col>
      <xdr:colOff>151920</xdr:colOff>
      <xdr:row>5</xdr:row>
      <xdr:rowOff>9000</xdr:rowOff>
    </xdr:to>
    <xdr:pic>
      <xdr:nvPicPr>
        <xdr:cNvPr id="2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26120" y="174240"/>
          <a:ext cx="1542240" cy="685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AMJ81"/>
  <sheetViews>
    <sheetView tabSelected="1" zoomScaleNormal="100" workbookViewId="0">
      <selection activeCell="D17" sqref="D17"/>
    </sheetView>
  </sheetViews>
  <sheetFormatPr defaultColWidth="9.140625" defaultRowHeight="13.5" x14ac:dyDescent="0.25"/>
  <cols>
    <col min="1" max="1" width="10.140625" style="3" customWidth="1"/>
    <col min="2" max="2" width="19.85546875" style="3" customWidth="1"/>
    <col min="3" max="3" width="9.42578125" style="3" customWidth="1"/>
    <col min="4" max="4" width="24.7109375" style="3" customWidth="1"/>
    <col min="5" max="5" width="9.42578125" style="3" customWidth="1"/>
    <col min="6" max="6" width="6.42578125" style="3" customWidth="1"/>
    <col min="7" max="7" width="6" style="3" customWidth="1"/>
    <col min="8" max="8" width="5.28515625" style="3" customWidth="1"/>
    <col min="9" max="39" width="2.7109375" style="3" customWidth="1"/>
    <col min="40" max="42" width="9.140625" style="3"/>
    <col min="43" max="43" width="25.7109375" style="3" customWidth="1"/>
    <col min="44" max="1024" width="9.140625" style="3"/>
  </cols>
  <sheetData>
    <row r="3" spans="1:39" x14ac:dyDescent="0.25"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</row>
    <row r="4" spans="1:39" x14ac:dyDescent="0.25">
      <c r="G4" s="72" t="s">
        <v>0</v>
      </c>
      <c r="H4" s="72"/>
      <c r="I4" s="72"/>
      <c r="J4" s="72"/>
      <c r="K4" s="72"/>
      <c r="L4" s="72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4" t="s">
        <v>1</v>
      </c>
      <c r="AA4" s="74"/>
      <c r="AB4" s="74"/>
      <c r="AC4" s="74"/>
      <c r="AD4" s="75" t="s">
        <v>2</v>
      </c>
      <c r="AE4" s="75"/>
      <c r="AF4" s="75"/>
      <c r="AG4" s="75"/>
      <c r="AH4" s="75"/>
      <c r="AJ4" s="76">
        <v>2026</v>
      </c>
      <c r="AK4" s="76"/>
      <c r="AL4" s="76"/>
      <c r="AM4" s="5"/>
    </row>
    <row r="5" spans="1:39" x14ac:dyDescent="0.25"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</row>
    <row r="7" spans="1:39" x14ac:dyDescent="0.25">
      <c r="A7" s="67" t="s">
        <v>3</v>
      </c>
      <c r="B7" s="67"/>
      <c r="C7" s="67"/>
      <c r="D7" s="67"/>
      <c r="E7" s="6" t="s">
        <v>4</v>
      </c>
      <c r="F7" s="7" t="s">
        <v>5</v>
      </c>
      <c r="G7" s="68" t="s">
        <v>6</v>
      </c>
      <c r="H7" s="68"/>
      <c r="I7" s="8" t="s">
        <v>7</v>
      </c>
      <c r="J7" s="9"/>
      <c r="K7" s="9"/>
      <c r="L7" s="9"/>
      <c r="M7" s="9"/>
      <c r="N7" s="9"/>
      <c r="O7" s="9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1"/>
    </row>
    <row r="8" spans="1:39" s="2" customFormat="1" x14ac:dyDescent="0.25">
      <c r="A8" s="12" t="s">
        <v>8</v>
      </c>
      <c r="B8" s="13" t="s">
        <v>9</v>
      </c>
      <c r="C8" s="13" t="s">
        <v>10</v>
      </c>
      <c r="D8" s="13" t="s">
        <v>11</v>
      </c>
      <c r="E8" s="13"/>
      <c r="F8" s="13"/>
      <c r="G8" s="14" t="s">
        <v>45</v>
      </c>
      <c r="H8" s="15" t="s">
        <v>12</v>
      </c>
      <c r="I8" s="16">
        <v>1</v>
      </c>
      <c r="J8" s="17">
        <v>2</v>
      </c>
      <c r="K8" s="17">
        <v>3</v>
      </c>
      <c r="L8" s="17">
        <v>4</v>
      </c>
      <c r="M8" s="17">
        <v>5</v>
      </c>
      <c r="N8" s="17">
        <v>6</v>
      </c>
      <c r="O8" s="17">
        <v>7</v>
      </c>
      <c r="P8" s="17">
        <v>8</v>
      </c>
      <c r="Q8" s="17">
        <v>9</v>
      </c>
      <c r="R8" s="17">
        <v>10</v>
      </c>
      <c r="S8" s="17">
        <v>11</v>
      </c>
      <c r="T8" s="17">
        <v>12</v>
      </c>
      <c r="U8" s="17">
        <v>13</v>
      </c>
      <c r="V8" s="17">
        <v>14</v>
      </c>
      <c r="W8" s="17">
        <v>15</v>
      </c>
      <c r="X8" s="17">
        <v>16</v>
      </c>
      <c r="Y8" s="17">
        <v>17</v>
      </c>
      <c r="Z8" s="17">
        <v>18</v>
      </c>
      <c r="AA8" s="17">
        <v>19</v>
      </c>
      <c r="AB8" s="17">
        <v>20</v>
      </c>
      <c r="AC8" s="17">
        <v>21</v>
      </c>
      <c r="AD8" s="17">
        <v>22</v>
      </c>
      <c r="AE8" s="17">
        <v>23</v>
      </c>
      <c r="AF8" s="17">
        <v>24</v>
      </c>
      <c r="AG8" s="17">
        <v>25</v>
      </c>
      <c r="AH8" s="17">
        <v>26</v>
      </c>
      <c r="AI8" s="17">
        <v>27</v>
      </c>
      <c r="AJ8" s="17">
        <v>28</v>
      </c>
      <c r="AK8" s="17">
        <v>29</v>
      </c>
      <c r="AL8" s="17">
        <v>30</v>
      </c>
      <c r="AM8" s="18">
        <v>31</v>
      </c>
    </row>
    <row r="9" spans="1:39" s="2" customFormat="1" ht="14.25" x14ac:dyDescent="0.3">
      <c r="A9" s="19" t="s">
        <v>13</v>
      </c>
      <c r="B9" s="20" t="str">
        <f t="shared" ref="B9:B23" si="0">IF(ISBLANK(A9),"",IF(LEFT(A9,1)="P","",VLOOKUP(A9,$A$60:$D$62,2,FALSE())))</f>
        <v>Contract part-time</v>
      </c>
      <c r="C9" s="21"/>
      <c r="D9" s="20" t="s">
        <v>14</v>
      </c>
      <c r="E9" s="22" t="str">
        <f t="shared" ref="E9:E23" si="1">IF(ISBLANK(A9),"",IF(LEFT(A9,1)="P","BI",VLOOKUP(A9,$A$60:$D$62,3,FALSE())))</f>
        <v>NB-CPT</v>
      </c>
      <c r="F9" s="22"/>
      <c r="G9" s="23">
        <f t="shared" ref="G9:G23" si="2">H9*COUNTRY_HOUR_FACTOR</f>
        <v>0</v>
      </c>
      <c r="H9" s="23">
        <f t="shared" ref="H9:H23" si="3">SUM(I9:AM9)/8</f>
        <v>0</v>
      </c>
      <c r="I9" s="24"/>
      <c r="J9" s="22"/>
      <c r="K9" s="22" t="s">
        <v>14</v>
      </c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5"/>
    </row>
    <row r="10" spans="1:39" s="2" customFormat="1" ht="14.25" x14ac:dyDescent="0.3">
      <c r="A10" s="19"/>
      <c r="B10" s="20"/>
      <c r="C10" s="21"/>
      <c r="D10" s="20"/>
      <c r="E10" s="22" t="str">
        <f t="shared" si="1"/>
        <v/>
      </c>
      <c r="F10" s="22"/>
      <c r="G10" s="23">
        <f t="shared" si="2"/>
        <v>0</v>
      </c>
      <c r="H10" s="23">
        <f t="shared" si="3"/>
        <v>0</v>
      </c>
      <c r="I10" s="26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5"/>
    </row>
    <row r="11" spans="1:39" s="2" customFormat="1" ht="14.25" x14ac:dyDescent="0.3">
      <c r="A11" s="19"/>
      <c r="B11" s="20" t="str">
        <f t="shared" si="0"/>
        <v/>
      </c>
      <c r="C11" s="21"/>
      <c r="D11" s="20"/>
      <c r="E11" s="22" t="str">
        <f t="shared" si="1"/>
        <v/>
      </c>
      <c r="F11" s="22"/>
      <c r="G11" s="23">
        <f t="shared" si="2"/>
        <v>0</v>
      </c>
      <c r="H11" s="23">
        <f t="shared" si="3"/>
        <v>0</v>
      </c>
      <c r="I11" s="26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5"/>
    </row>
    <row r="12" spans="1:39" s="2" customFormat="1" ht="14.25" x14ac:dyDescent="0.3">
      <c r="A12" s="19"/>
      <c r="B12" s="20" t="str">
        <f t="shared" si="0"/>
        <v/>
      </c>
      <c r="C12" s="21"/>
      <c r="D12" s="20"/>
      <c r="E12" s="22" t="str">
        <f t="shared" si="1"/>
        <v/>
      </c>
      <c r="F12" s="22"/>
      <c r="G12" s="23">
        <f t="shared" si="2"/>
        <v>0</v>
      </c>
      <c r="H12" s="23">
        <f t="shared" si="3"/>
        <v>0</v>
      </c>
      <c r="I12" s="26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5"/>
    </row>
    <row r="13" spans="1:39" s="2" customFormat="1" ht="14.25" x14ac:dyDescent="0.3">
      <c r="A13" s="19"/>
      <c r="B13" s="20" t="str">
        <f t="shared" si="0"/>
        <v/>
      </c>
      <c r="C13" s="21"/>
      <c r="D13" s="20"/>
      <c r="E13" s="22" t="str">
        <f t="shared" si="1"/>
        <v/>
      </c>
      <c r="F13" s="22"/>
      <c r="G13" s="23">
        <f t="shared" si="2"/>
        <v>0</v>
      </c>
      <c r="H13" s="23">
        <f t="shared" si="3"/>
        <v>0</v>
      </c>
      <c r="I13" s="26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5"/>
    </row>
    <row r="14" spans="1:39" s="2" customFormat="1" ht="14.25" x14ac:dyDescent="0.3">
      <c r="A14" s="19"/>
      <c r="B14" s="20" t="str">
        <f t="shared" si="0"/>
        <v/>
      </c>
      <c r="C14" s="21"/>
      <c r="D14" s="20"/>
      <c r="E14" s="22" t="str">
        <f t="shared" si="1"/>
        <v/>
      </c>
      <c r="F14" s="22"/>
      <c r="G14" s="23">
        <f t="shared" si="2"/>
        <v>0</v>
      </c>
      <c r="H14" s="23">
        <f t="shared" si="3"/>
        <v>0</v>
      </c>
      <c r="I14" s="26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5"/>
    </row>
    <row r="15" spans="1:39" s="2" customFormat="1" ht="14.25" x14ac:dyDescent="0.3">
      <c r="A15" s="19"/>
      <c r="B15" s="20" t="str">
        <f t="shared" si="0"/>
        <v/>
      </c>
      <c r="C15" s="21"/>
      <c r="D15" s="20"/>
      <c r="E15" s="22" t="str">
        <f t="shared" si="1"/>
        <v/>
      </c>
      <c r="F15" s="22"/>
      <c r="G15" s="23">
        <f t="shared" si="2"/>
        <v>0</v>
      </c>
      <c r="H15" s="23">
        <f t="shared" si="3"/>
        <v>0</v>
      </c>
      <c r="I15" s="26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5"/>
    </row>
    <row r="16" spans="1:39" s="2" customFormat="1" ht="14.25" x14ac:dyDescent="0.3">
      <c r="A16" s="19"/>
      <c r="B16" s="20" t="str">
        <f t="shared" si="0"/>
        <v/>
      </c>
      <c r="C16" s="21"/>
      <c r="D16" s="20"/>
      <c r="E16" s="22" t="str">
        <f t="shared" si="1"/>
        <v/>
      </c>
      <c r="F16" s="22"/>
      <c r="G16" s="23">
        <f t="shared" si="2"/>
        <v>0</v>
      </c>
      <c r="H16" s="23">
        <f t="shared" si="3"/>
        <v>0</v>
      </c>
      <c r="I16" s="26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5"/>
    </row>
    <row r="17" spans="1:44" s="2" customFormat="1" ht="14.25" x14ac:dyDescent="0.3">
      <c r="A17" s="19"/>
      <c r="B17" s="20" t="str">
        <f t="shared" si="0"/>
        <v/>
      </c>
      <c r="C17" s="21"/>
      <c r="D17" s="20"/>
      <c r="E17" s="22" t="str">
        <f t="shared" si="1"/>
        <v/>
      </c>
      <c r="F17" s="22"/>
      <c r="G17" s="23">
        <f t="shared" si="2"/>
        <v>0</v>
      </c>
      <c r="H17" s="23">
        <f t="shared" si="3"/>
        <v>0</v>
      </c>
      <c r="I17" s="26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5"/>
    </row>
    <row r="18" spans="1:44" s="2" customFormat="1" ht="14.25" x14ac:dyDescent="0.3">
      <c r="A18" s="19"/>
      <c r="B18" s="20" t="str">
        <f t="shared" si="0"/>
        <v/>
      </c>
      <c r="C18" s="21"/>
      <c r="D18" s="20"/>
      <c r="E18" s="22" t="str">
        <f t="shared" si="1"/>
        <v/>
      </c>
      <c r="F18" s="22"/>
      <c r="G18" s="23">
        <f t="shared" si="2"/>
        <v>0</v>
      </c>
      <c r="H18" s="23">
        <f t="shared" si="3"/>
        <v>0</v>
      </c>
      <c r="I18" s="26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5"/>
    </row>
    <row r="19" spans="1:44" s="2" customFormat="1" ht="14.25" x14ac:dyDescent="0.3">
      <c r="A19" s="19"/>
      <c r="B19" s="20" t="str">
        <f t="shared" si="0"/>
        <v/>
      </c>
      <c r="C19" s="21"/>
      <c r="D19" s="20"/>
      <c r="E19" s="22" t="str">
        <f t="shared" si="1"/>
        <v/>
      </c>
      <c r="F19" s="22"/>
      <c r="G19" s="23">
        <f t="shared" si="2"/>
        <v>0</v>
      </c>
      <c r="H19" s="23">
        <f t="shared" si="3"/>
        <v>0</v>
      </c>
      <c r="I19" s="26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5"/>
    </row>
    <row r="20" spans="1:44" s="2" customFormat="1" ht="14.25" x14ac:dyDescent="0.3">
      <c r="A20" s="19"/>
      <c r="B20" s="20" t="str">
        <f t="shared" si="0"/>
        <v/>
      </c>
      <c r="C20" s="21"/>
      <c r="D20" s="20"/>
      <c r="E20" s="22" t="str">
        <f t="shared" si="1"/>
        <v/>
      </c>
      <c r="F20" s="22"/>
      <c r="G20" s="23">
        <f t="shared" si="2"/>
        <v>0</v>
      </c>
      <c r="H20" s="23">
        <f t="shared" si="3"/>
        <v>0</v>
      </c>
      <c r="I20" s="26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5"/>
    </row>
    <row r="21" spans="1:44" s="2" customFormat="1" ht="14.25" x14ac:dyDescent="0.3">
      <c r="A21" s="19"/>
      <c r="B21" s="20" t="str">
        <f t="shared" si="0"/>
        <v/>
      </c>
      <c r="C21" s="21"/>
      <c r="D21" s="20"/>
      <c r="E21" s="22" t="str">
        <f t="shared" si="1"/>
        <v/>
      </c>
      <c r="F21" s="22"/>
      <c r="G21" s="23">
        <f t="shared" si="2"/>
        <v>0</v>
      </c>
      <c r="H21" s="23">
        <f t="shared" si="3"/>
        <v>0</v>
      </c>
      <c r="I21" s="26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5"/>
    </row>
    <row r="22" spans="1:44" s="2" customFormat="1" ht="14.25" x14ac:dyDescent="0.3">
      <c r="A22" s="19"/>
      <c r="B22" s="20" t="str">
        <f t="shared" si="0"/>
        <v/>
      </c>
      <c r="C22" s="21"/>
      <c r="D22" s="20"/>
      <c r="E22" s="22" t="str">
        <f t="shared" si="1"/>
        <v/>
      </c>
      <c r="F22" s="22"/>
      <c r="G22" s="23">
        <f t="shared" si="2"/>
        <v>0</v>
      </c>
      <c r="H22" s="23">
        <f t="shared" si="3"/>
        <v>0</v>
      </c>
      <c r="I22" s="26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5"/>
    </row>
    <row r="23" spans="1:44" s="2" customFormat="1" ht="14.25" x14ac:dyDescent="0.3">
      <c r="A23" s="27"/>
      <c r="B23" s="28" t="str">
        <f t="shared" si="0"/>
        <v/>
      </c>
      <c r="C23" s="29"/>
      <c r="D23" s="28"/>
      <c r="E23" s="30" t="str">
        <f t="shared" si="1"/>
        <v/>
      </c>
      <c r="F23" s="30"/>
      <c r="G23" s="31">
        <f t="shared" si="2"/>
        <v>0</v>
      </c>
      <c r="H23" s="31">
        <f t="shared" si="3"/>
        <v>0</v>
      </c>
      <c r="I23" s="3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5"/>
    </row>
    <row r="24" spans="1:44" s="2" customFormat="1" ht="17.25" x14ac:dyDescent="0.3">
      <c r="A24" s="33"/>
      <c r="B24" s="34"/>
      <c r="C24" s="34"/>
      <c r="D24" s="34"/>
      <c r="E24" s="34"/>
      <c r="F24" s="34"/>
      <c r="G24" s="69" t="s">
        <v>15</v>
      </c>
      <c r="H24" s="69"/>
      <c r="I24" s="35">
        <f t="shared" ref="I24:AM24" si="4">SUM(I9:I23)</f>
        <v>0</v>
      </c>
      <c r="J24" s="36">
        <f t="shared" si="4"/>
        <v>0</v>
      </c>
      <c r="K24" s="36">
        <f t="shared" si="4"/>
        <v>0</v>
      </c>
      <c r="L24" s="36">
        <f t="shared" si="4"/>
        <v>0</v>
      </c>
      <c r="M24" s="36">
        <f t="shared" si="4"/>
        <v>0</v>
      </c>
      <c r="N24" s="36">
        <f t="shared" si="4"/>
        <v>0</v>
      </c>
      <c r="O24" s="36">
        <f t="shared" si="4"/>
        <v>0</v>
      </c>
      <c r="P24" s="36">
        <f t="shared" si="4"/>
        <v>0</v>
      </c>
      <c r="Q24" s="36">
        <f t="shared" si="4"/>
        <v>0</v>
      </c>
      <c r="R24" s="36">
        <f t="shared" si="4"/>
        <v>0</v>
      </c>
      <c r="S24" s="36">
        <f t="shared" si="4"/>
        <v>0</v>
      </c>
      <c r="T24" s="36">
        <f t="shared" si="4"/>
        <v>0</v>
      </c>
      <c r="U24" s="36">
        <f t="shared" si="4"/>
        <v>0</v>
      </c>
      <c r="V24" s="36">
        <f t="shared" si="4"/>
        <v>0</v>
      </c>
      <c r="W24" s="36">
        <f t="shared" si="4"/>
        <v>0</v>
      </c>
      <c r="X24" s="36">
        <f t="shared" si="4"/>
        <v>0</v>
      </c>
      <c r="Y24" s="36">
        <f t="shared" si="4"/>
        <v>0</v>
      </c>
      <c r="Z24" s="36">
        <f t="shared" si="4"/>
        <v>0</v>
      </c>
      <c r="AA24" s="36">
        <f t="shared" si="4"/>
        <v>0</v>
      </c>
      <c r="AB24" s="36">
        <f t="shared" si="4"/>
        <v>0</v>
      </c>
      <c r="AC24" s="36">
        <f t="shared" si="4"/>
        <v>0</v>
      </c>
      <c r="AD24" s="36">
        <f t="shared" si="4"/>
        <v>0</v>
      </c>
      <c r="AE24" s="36">
        <f t="shared" si="4"/>
        <v>0</v>
      </c>
      <c r="AF24" s="36">
        <f t="shared" si="4"/>
        <v>0</v>
      </c>
      <c r="AG24" s="36">
        <f t="shared" si="4"/>
        <v>0</v>
      </c>
      <c r="AH24" s="36">
        <f t="shared" si="4"/>
        <v>0</v>
      </c>
      <c r="AI24" s="36">
        <f t="shared" si="4"/>
        <v>0</v>
      </c>
      <c r="AJ24" s="36">
        <f t="shared" si="4"/>
        <v>0</v>
      </c>
      <c r="AK24" s="36">
        <f t="shared" si="4"/>
        <v>0</v>
      </c>
      <c r="AL24" s="36">
        <f t="shared" si="4"/>
        <v>0</v>
      </c>
      <c r="AM24" s="37">
        <f t="shared" si="4"/>
        <v>0</v>
      </c>
      <c r="AP24" s="38"/>
      <c r="AQ24" s="38"/>
      <c r="AR24" s="38"/>
    </row>
    <row r="25" spans="1:44" s="2" customFormat="1" ht="17.25" x14ac:dyDescent="0.3">
      <c r="D25" s="70" t="s">
        <v>16</v>
      </c>
      <c r="E25" s="70"/>
      <c r="F25" s="70"/>
      <c r="G25" s="39">
        <f>SUMIF(E9:E23, "bi", G9:G23)</f>
        <v>0</v>
      </c>
      <c r="H25" s="40">
        <f>G25/COUNTRY_HOUR_FACTOR</f>
        <v>0</v>
      </c>
      <c r="I25" s="41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P25" s="38"/>
      <c r="AQ25" s="38"/>
      <c r="AR25" s="38"/>
    </row>
    <row r="26" spans="1:44" s="2" customFormat="1" ht="17.25" x14ac:dyDescent="0.3">
      <c r="D26" s="63" t="s">
        <v>17</v>
      </c>
      <c r="E26" s="63"/>
      <c r="F26" s="63"/>
      <c r="G26" s="43">
        <f t="array" ref="G26">SUM(IF((E9:E24="nb-abs")+(E9:E24="nb-int"),G9:G24))</f>
        <v>0</v>
      </c>
      <c r="H26" s="44">
        <f>G26/COUNTRY_HOUR_FACTOR</f>
        <v>0</v>
      </c>
      <c r="AP26" s="38"/>
      <c r="AQ26" s="38"/>
      <c r="AR26" s="38"/>
    </row>
    <row r="27" spans="1:44" s="2" customFormat="1" ht="17.25" x14ac:dyDescent="0.3">
      <c r="D27" s="64" t="s">
        <v>18</v>
      </c>
      <c r="E27" s="64"/>
      <c r="F27" s="64"/>
      <c r="G27" s="45">
        <f t="array" ref="G27">SUM(IF((E9:E24="nb-hol"),G9:G24))</f>
        <v>0</v>
      </c>
      <c r="H27" s="46">
        <f>G27/COUNTRY_HOUR_FACTOR</f>
        <v>0</v>
      </c>
      <c r="AP27" s="38"/>
      <c r="AQ27" s="38"/>
      <c r="AR27" s="38"/>
    </row>
    <row r="28" spans="1:44" s="2" customFormat="1" x14ac:dyDescent="0.25">
      <c r="H28" s="47">
        <f>SUM(H25:H27)</f>
        <v>0</v>
      </c>
    </row>
    <row r="29" spans="1:44" s="2" customFormat="1" x14ac:dyDescent="0.25"/>
    <row r="30" spans="1:44" s="2" customFormat="1" x14ac:dyDescent="0.25"/>
    <row r="31" spans="1:44" s="2" customFormat="1" x14ac:dyDescent="0.25">
      <c r="A31" s="48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50"/>
    </row>
    <row r="32" spans="1:44" s="2" customFormat="1" x14ac:dyDescent="0.25">
      <c r="A32" s="51"/>
      <c r="B32" s="65" t="s">
        <v>19</v>
      </c>
      <c r="C32" s="65"/>
      <c r="D32" s="65"/>
      <c r="E32" s="65"/>
      <c r="F32" s="65"/>
      <c r="G32" s="65"/>
      <c r="H32" s="65"/>
      <c r="I32" s="65"/>
      <c r="J32" s="65"/>
      <c r="K32" s="65"/>
      <c r="O32" s="3"/>
      <c r="P32" s="3"/>
      <c r="Q32" s="3"/>
      <c r="R32" s="65" t="s">
        <v>20</v>
      </c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52"/>
    </row>
    <row r="33" spans="1:44" s="2" customFormat="1" x14ac:dyDescent="0.25">
      <c r="A33" s="4"/>
      <c r="AM33" s="52"/>
    </row>
    <row r="34" spans="1:44" s="2" customFormat="1" x14ac:dyDescent="0.25">
      <c r="A34" s="4"/>
      <c r="AM34" s="52"/>
    </row>
    <row r="35" spans="1:44" s="2" customFormat="1" x14ac:dyDescent="0.25">
      <c r="A35" s="4"/>
      <c r="AM35" s="52"/>
    </row>
    <row r="36" spans="1:44" s="2" customFormat="1" x14ac:dyDescent="0.25">
      <c r="A36" s="4"/>
      <c r="AM36" s="52"/>
    </row>
    <row r="37" spans="1:44" s="2" customFormat="1" x14ac:dyDescent="0.25">
      <c r="A37" s="4"/>
      <c r="AM37" s="52"/>
    </row>
    <row r="38" spans="1:44" s="2" customFormat="1" x14ac:dyDescent="0.25">
      <c r="A38" s="4"/>
      <c r="B38" s="53" t="s">
        <v>21</v>
      </c>
      <c r="C38" s="54" t="s">
        <v>22</v>
      </c>
      <c r="D38" s="54"/>
      <c r="E38" s="55" t="s">
        <v>23</v>
      </c>
      <c r="F38" s="54"/>
      <c r="G38" s="55"/>
      <c r="H38" s="55"/>
      <c r="I38" s="55"/>
      <c r="J38" s="55"/>
      <c r="K38" s="55"/>
      <c r="L38" s="3"/>
      <c r="R38" s="55" t="s">
        <v>21</v>
      </c>
      <c r="S38" s="54"/>
      <c r="T38" s="54"/>
      <c r="U38" s="55"/>
      <c r="V38" s="54" t="s">
        <v>23</v>
      </c>
      <c r="W38" s="55"/>
      <c r="X38" s="55"/>
      <c r="Y38" s="55"/>
      <c r="Z38" s="55"/>
      <c r="AA38" s="55"/>
      <c r="AB38" s="54"/>
      <c r="AC38" s="54"/>
      <c r="AD38" s="54"/>
      <c r="AE38" s="54"/>
      <c r="AF38" s="54"/>
      <c r="AG38" s="54"/>
      <c r="AH38" s="55"/>
      <c r="AI38" s="55"/>
      <c r="AJ38" s="55"/>
      <c r="AK38" s="55"/>
      <c r="AL38" s="55"/>
      <c r="AM38" s="52"/>
    </row>
    <row r="39" spans="1:44" s="2" customFormat="1" x14ac:dyDescent="0.25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8"/>
    </row>
    <row r="40" spans="1:44" s="2" customFormat="1" x14ac:dyDescent="0.25"/>
    <row r="41" spans="1:44" s="2" customFormat="1" ht="15" hidden="1" customHeight="1" x14ac:dyDescent="0.3">
      <c r="AP41" s="38"/>
      <c r="AQ41" s="38"/>
      <c r="AR41" s="38"/>
    </row>
    <row r="42" spans="1:44" s="2" customFormat="1" ht="15" hidden="1" customHeight="1" x14ac:dyDescent="0.3">
      <c r="B42" s="2" t="s">
        <v>2</v>
      </c>
      <c r="C42" s="1">
        <f>MATCH($AD$4,MONTHS,0)</f>
        <v>1</v>
      </c>
      <c r="D42" s="2">
        <v>2025</v>
      </c>
      <c r="E42" s="2">
        <f>MATCH($AJ$4,YEARS,0)</f>
        <v>2</v>
      </c>
      <c r="I42" s="2">
        <v>1</v>
      </c>
      <c r="J42" s="2">
        <v>2</v>
      </c>
      <c r="K42" s="2">
        <v>3</v>
      </c>
      <c r="L42" s="2">
        <v>4</v>
      </c>
      <c r="M42" s="2">
        <v>5</v>
      </c>
      <c r="N42" s="2">
        <v>6</v>
      </c>
      <c r="O42" s="2">
        <v>7</v>
      </c>
      <c r="P42" s="2">
        <v>8</v>
      </c>
      <c r="Q42" s="2">
        <v>9</v>
      </c>
      <c r="R42" s="2">
        <v>10</v>
      </c>
      <c r="S42" s="2">
        <v>11</v>
      </c>
      <c r="T42" s="2">
        <v>12</v>
      </c>
      <c r="U42" s="2">
        <v>13</v>
      </c>
      <c r="V42" s="2">
        <v>14</v>
      </c>
      <c r="W42" s="2">
        <v>15</v>
      </c>
      <c r="X42" s="2">
        <v>16</v>
      </c>
      <c r="Y42" s="2">
        <v>17</v>
      </c>
      <c r="Z42" s="2">
        <v>18</v>
      </c>
      <c r="AA42" s="2">
        <v>19</v>
      </c>
      <c r="AB42" s="2">
        <v>20</v>
      </c>
      <c r="AC42" s="2">
        <v>21</v>
      </c>
      <c r="AD42" s="2">
        <v>22</v>
      </c>
      <c r="AE42" s="2">
        <v>23</v>
      </c>
      <c r="AF42" s="2">
        <v>24</v>
      </c>
      <c r="AG42" s="2">
        <v>25</v>
      </c>
      <c r="AH42" s="2">
        <v>26</v>
      </c>
      <c r="AI42" s="2">
        <v>27</v>
      </c>
      <c r="AJ42" s="2">
        <v>28</v>
      </c>
      <c r="AK42" s="2">
        <v>29</v>
      </c>
      <c r="AL42" s="2">
        <v>30</v>
      </c>
      <c r="AM42" s="2">
        <v>31</v>
      </c>
      <c r="AP42" s="38"/>
      <c r="AQ42" s="38"/>
      <c r="AR42" s="38"/>
    </row>
    <row r="43" spans="1:44" s="2" customFormat="1" ht="15" hidden="1" customHeight="1" x14ac:dyDescent="0.3">
      <c r="B43" s="2" t="s">
        <v>24</v>
      </c>
      <c r="D43" s="2">
        <v>2026</v>
      </c>
      <c r="I43" s="2">
        <f t="shared" ref="I43:AG43" si="5">WEEKDAY(DATE($D$42+$E$42-1,$C$42,I$42),2)</f>
        <v>4</v>
      </c>
      <c r="J43" s="2">
        <f t="shared" si="5"/>
        <v>5</v>
      </c>
      <c r="K43" s="2">
        <f t="shared" si="5"/>
        <v>6</v>
      </c>
      <c r="L43" s="2">
        <f t="shared" si="5"/>
        <v>7</v>
      </c>
      <c r="M43" s="2">
        <f t="shared" si="5"/>
        <v>1</v>
      </c>
      <c r="N43" s="2">
        <f t="shared" si="5"/>
        <v>2</v>
      </c>
      <c r="O43" s="2">
        <f t="shared" si="5"/>
        <v>3</v>
      </c>
      <c r="P43" s="2">
        <f t="shared" si="5"/>
        <v>4</v>
      </c>
      <c r="Q43" s="2">
        <f t="shared" si="5"/>
        <v>5</v>
      </c>
      <c r="R43" s="2">
        <f t="shared" si="5"/>
        <v>6</v>
      </c>
      <c r="S43" s="2">
        <f t="shared" si="5"/>
        <v>7</v>
      </c>
      <c r="T43" s="2">
        <f t="shared" si="5"/>
        <v>1</v>
      </c>
      <c r="U43" s="2">
        <f t="shared" si="5"/>
        <v>2</v>
      </c>
      <c r="V43" s="2">
        <f t="shared" si="5"/>
        <v>3</v>
      </c>
      <c r="W43" s="2">
        <f t="shared" si="5"/>
        <v>4</v>
      </c>
      <c r="X43" s="2">
        <f t="shared" si="5"/>
        <v>5</v>
      </c>
      <c r="Y43" s="2">
        <f t="shared" si="5"/>
        <v>6</v>
      </c>
      <c r="Z43" s="2">
        <f t="shared" si="5"/>
        <v>7</v>
      </c>
      <c r="AA43" s="2">
        <f t="shared" si="5"/>
        <v>1</v>
      </c>
      <c r="AB43" s="2">
        <f t="shared" si="5"/>
        <v>2</v>
      </c>
      <c r="AC43" s="2">
        <f t="shared" si="5"/>
        <v>3</v>
      </c>
      <c r="AD43" s="2">
        <f t="shared" si="5"/>
        <v>4</v>
      </c>
      <c r="AE43" s="2">
        <f t="shared" si="5"/>
        <v>5</v>
      </c>
      <c r="AF43" s="2">
        <f t="shared" si="5"/>
        <v>6</v>
      </c>
      <c r="AG43" s="2">
        <f t="shared" si="5"/>
        <v>7</v>
      </c>
      <c r="AH43" s="2">
        <f t="shared" ref="AH43:AM43" si="6">IF(MONTH(DATE($D$42+$E$42-1,$C$42,AH$42))&lt;&gt;SELECTED_MONTH,8,WEEKDAY(DATE($D$42+$E$42-1,$C$42,AH$42),2))</f>
        <v>1</v>
      </c>
      <c r="AI43" s="2">
        <f t="shared" si="6"/>
        <v>2</v>
      </c>
      <c r="AJ43" s="2">
        <f t="shared" si="6"/>
        <v>3</v>
      </c>
      <c r="AK43" s="2">
        <f t="shared" si="6"/>
        <v>4</v>
      </c>
      <c r="AL43" s="2">
        <f t="shared" si="6"/>
        <v>5</v>
      </c>
      <c r="AM43" s="2">
        <f t="shared" si="6"/>
        <v>6</v>
      </c>
      <c r="AP43" s="38"/>
      <c r="AQ43" s="38"/>
      <c r="AR43" s="38"/>
    </row>
    <row r="44" spans="1:44" s="2" customFormat="1" ht="15" hidden="1" customHeight="1" x14ac:dyDescent="0.3">
      <c r="B44" s="2" t="s">
        <v>25</v>
      </c>
      <c r="D44" s="2">
        <v>2027</v>
      </c>
      <c r="AP44" s="38"/>
      <c r="AQ44" s="38"/>
      <c r="AR44" s="38"/>
    </row>
    <row r="45" spans="1:44" s="2" customFormat="1" ht="15" hidden="1" customHeight="1" x14ac:dyDescent="0.3">
      <c r="B45" s="2" t="s">
        <v>26</v>
      </c>
      <c r="D45" s="2">
        <v>2028</v>
      </c>
      <c r="AP45" s="38"/>
      <c r="AQ45" s="38"/>
      <c r="AR45" s="38"/>
    </row>
    <row r="46" spans="1:44" s="2" customFormat="1" ht="15" hidden="1" customHeight="1" x14ac:dyDescent="0.3">
      <c r="B46" s="2" t="s">
        <v>27</v>
      </c>
      <c r="D46" s="2">
        <v>2029</v>
      </c>
      <c r="AP46" s="38"/>
      <c r="AQ46" s="38"/>
      <c r="AR46" s="38"/>
    </row>
    <row r="47" spans="1:44" s="2" customFormat="1" ht="15" hidden="1" customHeight="1" x14ac:dyDescent="0.3">
      <c r="B47" s="2" t="s">
        <v>28</v>
      </c>
      <c r="D47" s="2">
        <v>2030</v>
      </c>
      <c r="AP47" s="38"/>
      <c r="AQ47" s="38"/>
      <c r="AR47" s="38"/>
    </row>
    <row r="48" spans="1:44" s="2" customFormat="1" ht="15" hidden="1" customHeight="1" x14ac:dyDescent="0.3">
      <c r="B48" s="2" t="s">
        <v>29</v>
      </c>
      <c r="D48" s="2">
        <v>2031</v>
      </c>
      <c r="AP48" s="38"/>
      <c r="AQ48" s="38"/>
      <c r="AR48" s="38"/>
    </row>
    <row r="49" spans="1:44" s="2" customFormat="1" ht="15" hidden="1" customHeight="1" x14ac:dyDescent="0.3">
      <c r="B49" s="2" t="s">
        <v>30</v>
      </c>
      <c r="D49" s="2">
        <v>2032</v>
      </c>
      <c r="AP49" s="38"/>
      <c r="AQ49" s="38"/>
      <c r="AR49" s="38"/>
    </row>
    <row r="50" spans="1:44" s="2" customFormat="1" ht="15" hidden="1" customHeight="1" x14ac:dyDescent="0.3">
      <c r="B50" s="2" t="s">
        <v>31</v>
      </c>
      <c r="D50" s="2">
        <v>2033</v>
      </c>
      <c r="AP50" s="38"/>
      <c r="AQ50" s="38"/>
      <c r="AR50" s="38"/>
    </row>
    <row r="51" spans="1:44" s="2" customFormat="1" ht="15" hidden="1" customHeight="1" x14ac:dyDescent="0.3">
      <c r="B51" s="2" t="s">
        <v>32</v>
      </c>
      <c r="D51" s="2">
        <v>2034</v>
      </c>
      <c r="AP51" s="38"/>
      <c r="AQ51" s="38"/>
      <c r="AR51" s="38"/>
    </row>
    <row r="52" spans="1:44" s="2" customFormat="1" ht="15" hidden="1" customHeight="1" x14ac:dyDescent="0.3">
      <c r="B52" s="2" t="s">
        <v>33</v>
      </c>
      <c r="D52" s="2">
        <v>2035</v>
      </c>
      <c r="AP52" s="38"/>
      <c r="AQ52" s="38"/>
      <c r="AR52" s="38"/>
    </row>
    <row r="53" spans="1:44" s="2" customFormat="1" ht="15" hidden="1" customHeight="1" x14ac:dyDescent="0.3">
      <c r="B53" s="2" t="s">
        <v>34</v>
      </c>
      <c r="D53" s="2">
        <v>2036</v>
      </c>
      <c r="AP53" s="38"/>
      <c r="AQ53" s="38"/>
      <c r="AR53" s="38"/>
    </row>
    <row r="54" spans="1:44" s="2" customFormat="1" ht="15" hidden="1" customHeight="1" x14ac:dyDescent="0.3">
      <c r="D54" s="2">
        <v>2037</v>
      </c>
      <c r="AP54" s="38"/>
      <c r="AQ54" s="38"/>
      <c r="AR54" s="38"/>
    </row>
    <row r="55" spans="1:44" s="2" customFormat="1" ht="15" hidden="1" customHeight="1" x14ac:dyDescent="0.3">
      <c r="D55" s="2">
        <v>2038</v>
      </c>
      <c r="AP55" s="38"/>
      <c r="AQ55" s="38"/>
      <c r="AR55" s="38"/>
    </row>
    <row r="56" spans="1:44" s="2" customFormat="1" ht="15" hidden="1" customHeight="1" x14ac:dyDescent="0.3">
      <c r="D56" s="2">
        <v>2039</v>
      </c>
      <c r="AP56" s="38"/>
      <c r="AQ56" s="38"/>
      <c r="AR56" s="38"/>
    </row>
    <row r="57" spans="1:44" s="2" customFormat="1" ht="15" hidden="1" customHeight="1" x14ac:dyDescent="0.3">
      <c r="D57" s="2">
        <v>2040</v>
      </c>
      <c r="AP57" s="38"/>
      <c r="AQ57" s="38"/>
      <c r="AR57" s="38"/>
    </row>
    <row r="58" spans="1:44" s="2" customFormat="1" ht="15" hidden="1" customHeight="1" x14ac:dyDescent="0.3">
      <c r="AP58" s="38"/>
      <c r="AQ58" s="38"/>
      <c r="AR58" s="38"/>
    </row>
    <row r="59" spans="1:44" s="2" customFormat="1" ht="15" hidden="1" customHeight="1" x14ac:dyDescent="0.3">
      <c r="AP59" s="38"/>
      <c r="AQ59" s="38"/>
      <c r="AR59" s="38"/>
    </row>
    <row r="60" spans="1:44" s="2" customFormat="1" ht="17.25" hidden="1" x14ac:dyDescent="0.3">
      <c r="A60" s="59" t="s">
        <v>35</v>
      </c>
      <c r="B60" s="59" t="s">
        <v>36</v>
      </c>
      <c r="C60" s="59"/>
      <c r="D60" s="59"/>
      <c r="AP60" s="38"/>
      <c r="AQ60" s="38"/>
      <c r="AR60" s="38"/>
    </row>
    <row r="61" spans="1:44" s="2" customFormat="1" ht="17.25" hidden="1" x14ac:dyDescent="0.3">
      <c r="A61" s="60" t="s">
        <v>37</v>
      </c>
      <c r="B61" s="61" t="s">
        <v>38</v>
      </c>
      <c r="C61" s="62" t="s">
        <v>39</v>
      </c>
      <c r="D61" s="62" t="b">
        <f>TRUE()</f>
        <v>1</v>
      </c>
      <c r="AP61" s="38"/>
      <c r="AQ61" s="38"/>
      <c r="AR61" s="38"/>
    </row>
    <row r="62" spans="1:44" s="2" customFormat="1" ht="17.25" hidden="1" x14ac:dyDescent="0.3">
      <c r="A62" s="60" t="s">
        <v>13</v>
      </c>
      <c r="B62" s="61" t="s">
        <v>40</v>
      </c>
      <c r="C62" s="62" t="s">
        <v>41</v>
      </c>
      <c r="D62" s="62" t="b">
        <f>TRUE()</f>
        <v>1</v>
      </c>
    </row>
    <row r="63" spans="1:44" s="2" customFormat="1" hidden="1" x14ac:dyDescent="0.25"/>
    <row r="64" spans="1:44" s="2" customFormat="1" hidden="1" x14ac:dyDescent="0.25"/>
    <row r="65" spans="2:4" s="2" customFormat="1" hidden="1" x14ac:dyDescent="0.25"/>
    <row r="66" spans="2:4" s="2" customFormat="1" hidden="1" x14ac:dyDescent="0.25"/>
    <row r="67" spans="2:4" s="2" customFormat="1" hidden="1" x14ac:dyDescent="0.25"/>
    <row r="68" spans="2:4" s="2" customFormat="1" hidden="1" x14ac:dyDescent="0.25"/>
    <row r="69" spans="2:4" s="2" customFormat="1" hidden="1" x14ac:dyDescent="0.25"/>
    <row r="70" spans="2:4" s="2" customFormat="1" hidden="1" x14ac:dyDescent="0.25"/>
    <row r="71" spans="2:4" s="2" customFormat="1" hidden="1" x14ac:dyDescent="0.25">
      <c r="B71" s="2" t="s">
        <v>42</v>
      </c>
      <c r="C71" s="2" t="s">
        <v>43</v>
      </c>
      <c r="D71" s="2">
        <v>8</v>
      </c>
    </row>
    <row r="72" spans="2:4" s="2" customFormat="1" hidden="1" x14ac:dyDescent="0.25">
      <c r="B72" s="2" t="s">
        <v>44</v>
      </c>
      <c r="C72" s="1">
        <v>2</v>
      </c>
    </row>
    <row r="73" spans="2:4" s="2" customFormat="1" hidden="1" x14ac:dyDescent="0.25"/>
    <row r="74" spans="2:4" s="2" customFormat="1" hidden="1" x14ac:dyDescent="0.25"/>
    <row r="75" spans="2:4" s="2" customFormat="1" hidden="1" x14ac:dyDescent="0.25"/>
    <row r="76" spans="2:4" s="2" customFormat="1" hidden="1" x14ac:dyDescent="0.25"/>
    <row r="77" spans="2:4" s="2" customFormat="1" hidden="1" x14ac:dyDescent="0.25"/>
    <row r="78" spans="2:4" s="2" customFormat="1" hidden="1" x14ac:dyDescent="0.25"/>
    <row r="79" spans="2:4" s="2" customFormat="1" x14ac:dyDescent="0.25"/>
    <row r="80" spans="2:4" s="2" customFormat="1" x14ac:dyDescent="0.25"/>
    <row r="81" s="2" customFormat="1" x14ac:dyDescent="0.25"/>
  </sheetData>
  <mergeCells count="15">
    <mergeCell ref="G3:AM3"/>
    <mergeCell ref="G4:L4"/>
    <mergeCell ref="M4:Y4"/>
    <mergeCell ref="Z4:AC4"/>
    <mergeCell ref="AD4:AH4"/>
    <mergeCell ref="AJ4:AL4"/>
    <mergeCell ref="D26:F26"/>
    <mergeCell ref="D27:F27"/>
    <mergeCell ref="B32:K32"/>
    <mergeCell ref="R32:AL32"/>
    <mergeCell ref="G5:AM5"/>
    <mergeCell ref="A7:D7"/>
    <mergeCell ref="G7:H7"/>
    <mergeCell ref="G24:H24"/>
    <mergeCell ref="D25:F25"/>
  </mergeCells>
  <conditionalFormatting sqref="I8:AM24">
    <cfRule type="expression" dxfId="0" priority="2">
      <formula>DAY_OF_WEEK&gt;5</formula>
    </cfRule>
  </conditionalFormatting>
  <dataValidations count="3">
    <dataValidation type="custom" allowBlank="1" showErrorMessage="1" error="The Format should be P9999 for a project or a management code in 3 letters" prompt="_x000a_" sqref="A9:A23" xr:uid="{00000000-0002-0000-0000-000000000000}">
      <formula1>IF(LEFT(A9,1)="P",OR(IF(LEN(A9)=5,IF(VALUE(RIGHT(A9,4))&lt;10000,1,0),0),IF(LEN(A9)=6,IF(VALUE(RIGHT(A9,5))&lt;100000,1,0),0)),VLOOKUP(A9,$A$60:$D$62,4,0))</formula1>
      <formula2>0</formula2>
    </dataValidation>
    <dataValidation type="list" allowBlank="1" showInputMessage="1" showErrorMessage="1" sqref="AJ4:AL4" xr:uid="{00000000-0002-0000-0000-000001000000}">
      <formula1>$D$42:$D$57</formula1>
    </dataValidation>
    <dataValidation type="list" allowBlank="1" showInputMessage="1" showErrorMessage="1" sqref="AD4" xr:uid="{00000000-0002-0000-0000-000002000000}">
      <formula1>MONTHS</formula1>
      <formula2>0</formula2>
    </dataValidation>
  </dataValidations>
  <pageMargins left="0.75" right="0.75" top="1" bottom="1" header="0.51180555555555496" footer="0.51180555555555496"/>
  <pageSetup paperSize="9" orientation="landscape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template to use</vt:lpstr>
      <vt:lpstr>COUNTRY_HOUR_FACTOR</vt:lpstr>
      <vt:lpstr>DAY_OF_WEEK</vt:lpstr>
      <vt:lpstr>MONTHS</vt:lpstr>
      <vt:lpstr>SELECTED_MONTH</vt:lpstr>
      <vt:lpstr>SELECTED_YEAR</vt:lpstr>
      <vt:lpstr>YEARS</vt:lpstr>
    </vt:vector>
  </TitlesOfParts>
  <Company>Arhs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Timesheet template</dc:title>
  <dc:subject>Timesheet template</dc:subject>
  <dc:creator>Pitz Jean-François</dc:creator>
  <dc:description/>
  <cp:lastModifiedBy>Goebel, Jo</cp:lastModifiedBy>
  <cp:revision>1</cp:revision>
  <cp:lastPrinted>2014-11-19T08:06:04Z</cp:lastPrinted>
  <dcterms:created xsi:type="dcterms:W3CDTF">2003-02-26T08:40:42Z</dcterms:created>
  <dcterms:modified xsi:type="dcterms:W3CDTF">2026-01-29T14:09:44Z</dcterms:modified>
  <dc:language>fr-BE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roved By">
    <vt:lpwstr>PitzJf</vt:lpwstr>
  </property>
  <property fmtid="{D5CDD505-2E9C-101B-9397-08002B2CF9AE}" pid="3" name="Version">
    <vt:lpwstr>1.00</vt:lpwstr>
  </property>
</Properties>
</file>